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c52c6773149f39/"/>
    </mc:Choice>
  </mc:AlternateContent>
  <xr:revisionPtr revIDLastSave="0" documentId="8_{2670E5E2-7464-4E2C-A71E-25961D250CAB}" xr6:coauthVersionLast="47" xr6:coauthVersionMax="47" xr10:uidLastSave="{00000000-0000-0000-0000-000000000000}"/>
  <bookViews>
    <workbookView xWindow="-108" yWindow="-108" windowWidth="23256" windowHeight="12456" xr2:uid="{3A1DD99F-5FDA-4326-9B12-57684EFBC7C5}"/>
  </bookViews>
  <sheets>
    <sheet name="Lab1-Sudip Pradhan_AF05113074" sheetId="1" r:id="rId1"/>
  </sheets>
  <definedNames>
    <definedName name="data">'Lab1-Sudip Pradhan_AF05113074'!$A$1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N10" i="1"/>
  <c r="O10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  <c r="L8" i="1"/>
  <c r="L3" i="1"/>
  <c r="L4" i="1"/>
  <c r="L5" i="1"/>
  <c r="L6" i="1"/>
  <c r="L7" i="1"/>
  <c r="L9" i="1"/>
  <c r="L2" i="1"/>
  <c r="K10" i="1"/>
  <c r="K7" i="1"/>
  <c r="K9" i="1"/>
  <c r="K3" i="1"/>
  <c r="K4" i="1"/>
  <c r="K5" i="1"/>
  <c r="K6" i="1"/>
  <c r="K8" i="1"/>
  <c r="K2" i="1"/>
</calcChain>
</file>

<file path=xl/sharedStrings.xml><?xml version="1.0" encoding="utf-8"?>
<sst xmlns="http://schemas.openxmlformats.org/spreadsheetml/2006/main" count="29" uniqueCount="26">
  <si>
    <t>OrderId</t>
  </si>
  <si>
    <t>Product</t>
  </si>
  <si>
    <t>Price</t>
  </si>
  <si>
    <t>Quantity</t>
  </si>
  <si>
    <t>Discount%</t>
  </si>
  <si>
    <t>Selesperson</t>
  </si>
  <si>
    <t>Pen</t>
  </si>
  <si>
    <t>amit</t>
  </si>
  <si>
    <t>Pencil</t>
  </si>
  <si>
    <t>riya</t>
  </si>
  <si>
    <t>Notebook</t>
  </si>
  <si>
    <t>john</t>
  </si>
  <si>
    <t>Eraser</t>
  </si>
  <si>
    <t>Marker</t>
  </si>
  <si>
    <t>Riya</t>
  </si>
  <si>
    <t>Scale</t>
  </si>
  <si>
    <t>Sharpener</t>
  </si>
  <si>
    <t>Amit</t>
  </si>
  <si>
    <t>File</t>
  </si>
  <si>
    <t>Shiping Charge</t>
  </si>
  <si>
    <t>Company Tax</t>
  </si>
  <si>
    <t>Total price</t>
  </si>
  <si>
    <t>Discount amount</t>
  </si>
  <si>
    <t>After discount</t>
  </si>
  <si>
    <t>Tax amount</t>
  </si>
  <si>
    <t>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</si>
</sst>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61E1-69D1-4B90-B6BA-E0A333D97ECC}">
  <dimension ref="A1:O10"/>
  <sheetViews>
    <sheetView tabSelected="1" zoomScale="114" workbookViewId="0">
      <selection activeCell="E11" sqref="E11"/>
    </sheetView>
  </sheetViews>
  <sheetFormatPr defaultRowHeight="14.4" x14ac:dyDescent="0.3"/>
  <cols>
    <col min="1" max="1" width="7.44140625" bestFit="1" customWidth="1"/>
    <col min="2" max="2" width="9.21875" bestFit="1" customWidth="1"/>
    <col min="3" max="3" width="5.109375" bestFit="1" customWidth="1"/>
    <col min="4" max="4" width="8.33203125" bestFit="1" customWidth="1"/>
    <col min="5" max="5" width="9.77734375" bestFit="1" customWidth="1"/>
    <col min="6" max="6" width="11" bestFit="1" customWidth="1"/>
    <col min="8" max="8" width="13.6640625" bestFit="1" customWidth="1"/>
    <col min="9" max="9" width="4.44140625" bestFit="1" customWidth="1"/>
    <col min="11" max="11" width="9.6640625" bestFit="1" customWidth="1"/>
    <col min="12" max="12" width="15.33203125" bestFit="1" customWidth="1"/>
    <col min="13" max="13" width="12.5546875" bestFit="1" customWidth="1"/>
    <col min="14" max="14" width="10.77734375" bestFit="1" customWidth="1"/>
    <col min="15" max="15" width="14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</row>
    <row r="2" spans="1:15" x14ac:dyDescent="0.3">
      <c r="A2" s="1">
        <v>1001</v>
      </c>
      <c r="B2" s="1" t="s">
        <v>6</v>
      </c>
      <c r="C2" s="1">
        <v>10</v>
      </c>
      <c r="D2" s="1">
        <v>5</v>
      </c>
      <c r="E2" s="2">
        <v>0.05</v>
      </c>
      <c r="F2" s="1" t="s">
        <v>7</v>
      </c>
      <c r="H2" s="3" t="s">
        <v>20</v>
      </c>
      <c r="I2" s="4">
        <v>0.18</v>
      </c>
      <c r="K2" s="1">
        <f>C2*D2</f>
        <v>50</v>
      </c>
      <c r="L2" s="1">
        <f>K2*E2</f>
        <v>2.5</v>
      </c>
      <c r="M2" s="1">
        <f>K2-L2</f>
        <v>47.5</v>
      </c>
      <c r="N2" s="1">
        <f>M2*$I$2</f>
        <v>8.5499999999999989</v>
      </c>
      <c r="O2" s="1">
        <f>M2+N2+$I$3</f>
        <v>76.05</v>
      </c>
    </row>
    <row r="3" spans="1:15" x14ac:dyDescent="0.3">
      <c r="A3" s="1">
        <v>1002</v>
      </c>
      <c r="B3" s="1" t="s">
        <v>8</v>
      </c>
      <c r="C3" s="1">
        <v>5</v>
      </c>
      <c r="D3" s="1">
        <v>10</v>
      </c>
      <c r="E3" s="2">
        <v>0</v>
      </c>
      <c r="F3" s="1" t="s">
        <v>9</v>
      </c>
      <c r="H3" s="3" t="s">
        <v>19</v>
      </c>
      <c r="I3" s="3">
        <v>20</v>
      </c>
      <c r="K3" s="1">
        <f t="shared" ref="K3:K9" si="0">C3*D3</f>
        <v>50</v>
      </c>
      <c r="L3" s="1">
        <f t="shared" ref="L3:L9" si="1">K3*E3</f>
        <v>0</v>
      </c>
      <c r="M3" s="1">
        <f t="shared" ref="M3:M9" si="2">K3-L3</f>
        <v>50</v>
      </c>
      <c r="N3" s="1">
        <f t="shared" ref="N3:N10" si="3">M3*$I$2</f>
        <v>9</v>
      </c>
      <c r="O3" s="1">
        <f t="shared" ref="O3:O9" si="4">M3+N3+$I$3</f>
        <v>79</v>
      </c>
    </row>
    <row r="4" spans="1:15" x14ac:dyDescent="0.3">
      <c r="A4" s="1">
        <v>1003</v>
      </c>
      <c r="B4" s="1" t="s">
        <v>10</v>
      </c>
      <c r="C4" s="1">
        <v>50</v>
      </c>
      <c r="D4" s="1">
        <v>3</v>
      </c>
      <c r="E4" s="2">
        <v>0.1</v>
      </c>
      <c r="F4" s="1" t="s">
        <v>11</v>
      </c>
      <c r="K4" s="1">
        <f t="shared" si="0"/>
        <v>150</v>
      </c>
      <c r="L4" s="1">
        <f t="shared" si="1"/>
        <v>15</v>
      </c>
      <c r="M4" s="1">
        <f t="shared" si="2"/>
        <v>135</v>
      </c>
      <c r="N4" s="1">
        <f t="shared" si="3"/>
        <v>24.3</v>
      </c>
      <c r="O4" s="1">
        <f t="shared" si="4"/>
        <v>179.3</v>
      </c>
    </row>
    <row r="5" spans="1:15" x14ac:dyDescent="0.3">
      <c r="A5" s="1">
        <v>1004</v>
      </c>
      <c r="B5" s="1" t="s">
        <v>12</v>
      </c>
      <c r="C5" s="1">
        <v>3</v>
      </c>
      <c r="D5" s="1">
        <v>20</v>
      </c>
      <c r="E5" s="2">
        <v>0</v>
      </c>
      <c r="F5" s="1" t="s">
        <v>7</v>
      </c>
      <c r="K5" s="1">
        <f t="shared" si="0"/>
        <v>60</v>
      </c>
      <c r="L5" s="1">
        <f t="shared" si="1"/>
        <v>0</v>
      </c>
      <c r="M5" s="1">
        <f t="shared" si="2"/>
        <v>60</v>
      </c>
      <c r="N5" s="1">
        <f t="shared" si="3"/>
        <v>10.799999999999999</v>
      </c>
      <c r="O5" s="1">
        <f t="shared" si="4"/>
        <v>90.8</v>
      </c>
    </row>
    <row r="6" spans="1:15" x14ac:dyDescent="0.3">
      <c r="A6" s="1">
        <v>1005</v>
      </c>
      <c r="B6" s="1" t="s">
        <v>13</v>
      </c>
      <c r="C6" s="1">
        <v>25</v>
      </c>
      <c r="D6" s="1">
        <v>4</v>
      </c>
      <c r="E6" s="2">
        <v>0.05</v>
      </c>
      <c r="F6" s="1" t="s">
        <v>14</v>
      </c>
      <c r="K6" s="1">
        <f t="shared" si="0"/>
        <v>100</v>
      </c>
      <c r="L6" s="1">
        <f t="shared" si="1"/>
        <v>5</v>
      </c>
      <c r="M6" s="1">
        <f t="shared" si="2"/>
        <v>95</v>
      </c>
      <c r="N6" s="1">
        <f t="shared" si="3"/>
        <v>17.099999999999998</v>
      </c>
      <c r="O6" s="1">
        <f t="shared" si="4"/>
        <v>132.1</v>
      </c>
    </row>
    <row r="7" spans="1:15" x14ac:dyDescent="0.3">
      <c r="A7" s="1">
        <v>1006</v>
      </c>
      <c r="B7" s="1" t="s">
        <v>15</v>
      </c>
      <c r="C7" s="1">
        <v>15</v>
      </c>
      <c r="D7" s="1">
        <v>6</v>
      </c>
      <c r="E7" s="2">
        <v>0</v>
      </c>
      <c r="F7" s="1" t="s">
        <v>11</v>
      </c>
      <c r="K7" s="1">
        <f>C7*D7</f>
        <v>90</v>
      </c>
      <c r="L7" s="1">
        <f t="shared" si="1"/>
        <v>0</v>
      </c>
      <c r="M7" s="1">
        <f t="shared" si="2"/>
        <v>90</v>
      </c>
      <c r="N7" s="1">
        <f t="shared" si="3"/>
        <v>16.2</v>
      </c>
      <c r="O7" s="1">
        <f t="shared" si="4"/>
        <v>126.2</v>
      </c>
    </row>
    <row r="8" spans="1:15" x14ac:dyDescent="0.3">
      <c r="A8" s="1">
        <v>1007</v>
      </c>
      <c r="B8" s="1" t="s">
        <v>16</v>
      </c>
      <c r="C8" s="1">
        <v>8</v>
      </c>
      <c r="D8" s="1">
        <v>8</v>
      </c>
      <c r="E8" s="2">
        <v>0.05</v>
      </c>
      <c r="F8" s="1" t="s">
        <v>17</v>
      </c>
      <c r="K8" s="1">
        <f t="shared" si="0"/>
        <v>64</v>
      </c>
      <c r="L8" s="1">
        <f>K8*E8</f>
        <v>3.2</v>
      </c>
      <c r="M8" s="1">
        <f t="shared" si="2"/>
        <v>60.8</v>
      </c>
      <c r="N8" s="1">
        <f t="shared" si="3"/>
        <v>10.943999999999999</v>
      </c>
      <c r="O8" s="1">
        <f t="shared" si="4"/>
        <v>91.744</v>
      </c>
    </row>
    <row r="9" spans="1:15" x14ac:dyDescent="0.3">
      <c r="A9" s="1">
        <v>1008</v>
      </c>
      <c r="B9" s="1" t="s">
        <v>18</v>
      </c>
      <c r="C9" s="1">
        <v>40</v>
      </c>
      <c r="D9" s="1">
        <v>2</v>
      </c>
      <c r="E9" s="2">
        <v>0.1</v>
      </c>
      <c r="F9" s="1" t="s">
        <v>14</v>
      </c>
      <c r="K9" s="1">
        <f>C9*D9</f>
        <v>80</v>
      </c>
      <c r="L9" s="1">
        <f t="shared" si="1"/>
        <v>8</v>
      </c>
      <c r="M9" s="1">
        <f t="shared" si="2"/>
        <v>72</v>
      </c>
      <c r="N9" s="1">
        <f t="shared" si="3"/>
        <v>12.959999999999999</v>
      </c>
      <c r="O9" s="1">
        <f t="shared" si="4"/>
        <v>104.96</v>
      </c>
    </row>
    <row r="10" spans="1:15" x14ac:dyDescent="0.3">
      <c r="K10" s="3">
        <f>SUM(K2:K9)</f>
        <v>644</v>
      </c>
      <c r="L10" s="3"/>
      <c r="M10" s="3">
        <f>SUM(M2:M9)</f>
        <v>610.29999999999995</v>
      </c>
      <c r="N10" s="3">
        <f t="shared" si="3"/>
        <v>109.85399999999998</v>
      </c>
      <c r="O10" s="3">
        <f>SUM(O2:O9)</f>
        <v>880.15400000000011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Lab1-Sudip Pradhan_AF05113074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Pradhan</dc:creator>
  <cp:lastModifiedBy>Sudip Pradhan</cp:lastModifiedBy>
  <dcterms:created xsi:type="dcterms:W3CDTF">2026-02-18T05:43:21Z</dcterms:created>
  <dcterms:modified xsi:type="dcterms:W3CDTF">2026-02-20T07:56:02Z</dcterms:modified>
</cp:coreProperties>
</file>